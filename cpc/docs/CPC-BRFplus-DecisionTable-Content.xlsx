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T_PREF_DEFAULTS" sheetId="2" state="visible" r:id="rId2"/>
    <sheet xmlns:r="http://schemas.openxmlformats.org/officeDocument/2006/relationships" name="DT_DNC_POLICY" sheetId="3" state="visible" r:id="rId3"/>
    <sheet xmlns:r="http://schemas.openxmlformats.org/officeDocument/2006/relationships" name="DT_EVENT_RULES" sheetId="4" state="visible" r:id="rId4"/>
    <sheet xmlns:r="http://schemas.openxmlformats.org/officeDocument/2006/relationships" name="CHANNEL_CATA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0A6E5C"/>
      </patternFill>
    </fill>
    <fill>
      <patternFill patternType="solid">
        <fgColor rgb="00FFF7CC"/>
      </patternFill>
    </fill>
    <fill>
      <patternFill patternType="solid">
        <fgColor rgb="00DCE9F9"/>
      </patternFill>
    </fill>
  </fills>
  <borders count="2">
    <border>
      <left/>
      <right/>
      <top/>
      <bottom/>
      <diagonal/>
    </border>
    <border>
      <left style="thin">
        <color rgb="00C9CFCB"/>
      </left>
      <right style="thin">
        <color rgb="00C9CFCB"/>
      </right>
      <top style="thin">
        <color rgb="00C9CFCB"/>
      </top>
      <bottom style="thin">
        <color rgb="00C9CF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Customer Preference Center - BRFplus decision-table seed content</t>
        </is>
      </c>
    </row>
    <row r="2">
      <c r="A2" s="2" t="inlineStr"/>
    </row>
    <row r="3">
      <c r="A3" s="2" t="inlineStr">
        <is>
          <t>Purpose: review + load workbook for the BRFplus application ZCPC. Each DT_* sheet mirrors one</t>
        </is>
      </c>
    </row>
    <row r="4">
      <c r="A4" s="2" t="inlineStr">
        <is>
          <t>decision table one-to-one. Functional admins review/adjust the yellow columns; the technical team</t>
        </is>
      </c>
    </row>
    <row r="5">
      <c r="A5" s="2" t="inlineStr">
        <is>
          <t>loads rows via the BRF workbench (manual entry or Table Data Exchange XML import - validate the</t>
        </is>
      </c>
    </row>
    <row r="6">
      <c r="A6" s="2" t="inlineStr">
        <is>
          <t>import path against your S/4 release).</t>
        </is>
      </c>
    </row>
    <row r="7">
      <c r="A7" s="2" t="inlineStr"/>
    </row>
    <row r="8">
      <c r="A8" s="3" t="inlineStr">
        <is>
          <t>Conventions (must match the implementation exactly):</t>
        </is>
      </c>
    </row>
    <row r="9">
      <c r="A9" s="2" t="inlineStr">
        <is>
          <t xml:space="preserve">  1. SCOPE = BP means the preference is held at Business Partner level (contract account empty).</t>
        </is>
      </c>
    </row>
    <row r="10">
      <c r="A10" s="2" t="inlineStr">
        <is>
          <t xml:space="preserve">     It applies to ALL contract accounts and is never touched by Move-In/Move-Out (blue rows).</t>
        </is>
      </c>
    </row>
    <row r="11">
      <c r="A11" s="2" t="inlineStr">
        <is>
          <t xml:space="preserve">  2. Validity is a half-open interval [VALID_FROM, VALID_TO): a record ended today is inactive</t>
        </is>
      </c>
    </row>
    <row r="12">
      <c r="A12" s="2" t="inlineStr">
        <is>
          <t xml:space="preserve">     today; its replacement starts today with no gap and no overlap.</t>
        </is>
      </c>
    </row>
    <row r="13">
      <c r="A13" s="2" t="inlineStr">
        <is>
          <t xml:space="preserve">  3. Records are end-dated, never deleted (CPC03). Every change writes an audit row in the same LUW.</t>
        </is>
      </c>
    </row>
    <row r="14">
      <c r="A14" s="2" t="inlineStr">
        <is>
          <t xml:space="preserve">  4. MANDATORY = X preference types cannot be opted out (regulatory notices).</t>
        </is>
      </c>
    </row>
    <row r="15">
      <c r="A15" s="2" t="inlineStr">
        <is>
          <t xml:space="preserve">  5. ALLOWED_CHANNELS is a comma list; DEFAULT_CHANNEL must be one of them (see CHECK column).</t>
        </is>
      </c>
    </row>
    <row r="16">
      <c r="A16" s="2" t="inlineStr"/>
    </row>
    <row r="17">
      <c r="A17" s="3" t="inlineStr">
        <is>
          <t>Legend:</t>
        </is>
      </c>
    </row>
    <row r="18">
      <c r="A18" s="2" t="inlineStr">
        <is>
          <t xml:space="preserve">  Yellow cells  = intended for functional review/edit before load.</t>
        </is>
      </c>
    </row>
    <row r="19">
      <c r="A19" s="2" t="inlineStr">
        <is>
          <t xml:space="preserve">  Blue rows     = BP-scope types (DNC, DNM, THIRD_PARTY) - partner-wide, survive account events.</t>
        </is>
      </c>
    </row>
    <row r="20">
      <c r="A20" s="2" t="inlineStr">
        <is>
          <t xml:space="preserve">  CHECK columns = consistency formulas; every row must show OK before loading.</t>
        </is>
      </c>
    </row>
    <row r="21">
      <c r="A21" s="2" t="inlineStr"/>
    </row>
    <row r="22">
      <c r="A22" s="2" t="inlineStr">
        <is>
          <t>Sources: preference-center/index.html (verified UI behavior) and</t>
        </is>
      </c>
    </row>
    <row r="23">
      <c r="A23" s="2" t="inlineStr">
        <is>
          <t>docs/cpc-brfplus-architecture.md sections 3-4. CPC spec refs: CPC01-CPC19.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7" customWidth="1" min="4" max="4"/>
    <col width="24" customWidth="1" min="5" max="5"/>
    <col width="15" customWidth="1" min="6" max="6"/>
    <col width="14" customWidth="1" min="7" max="7"/>
    <col width="11" customWidth="1" min="8" max="8"/>
    <col width="14" customWidth="1" min="9" max="9"/>
    <col width="24" customWidth="1" min="10" max="10"/>
    <col width="34" customWidth="1" min="11" max="11"/>
  </cols>
  <sheetData>
    <row r="1">
      <c r="A1" s="4" t="inlineStr">
        <is>
          <t>PREF_TYPE</t>
        </is>
      </c>
      <c r="B1" s="4" t="inlineStr">
        <is>
          <t>DESCRIPTION</t>
        </is>
      </c>
      <c r="C1" s="4" t="inlineStr">
        <is>
          <t>CATEGORY</t>
        </is>
      </c>
      <c r="D1" s="4" t="inlineStr">
        <is>
          <t>SCOPE</t>
        </is>
      </c>
      <c r="E1" s="4" t="inlineStr">
        <is>
          <t>ALLOWED_CHANNELS</t>
        </is>
      </c>
      <c r="F1" s="4" t="inlineStr">
        <is>
          <t>DEFAULT_CHANNEL</t>
        </is>
      </c>
      <c r="G1" s="4" t="inlineStr">
        <is>
          <t>DEFAULT_VALUE</t>
        </is>
      </c>
      <c r="H1" s="4" t="inlineStr">
        <is>
          <t>MANDATORY</t>
        </is>
      </c>
      <c r="I1" s="4" t="inlineStr">
        <is>
          <t>SOURCE_SYSTEM</t>
        </is>
      </c>
      <c r="J1" s="4" t="inlineStr">
        <is>
          <t>CHECK</t>
        </is>
      </c>
      <c r="K1" s="4" t="inlineStr">
        <is>
          <t>NOTES</t>
        </is>
      </c>
    </row>
    <row r="2">
      <c r="A2" s="5" t="inlineStr">
        <is>
          <t>PAPERLESS</t>
        </is>
      </c>
      <c r="B2" s="5" t="inlineStr">
        <is>
          <t>Paperless billing</t>
        </is>
      </c>
      <c r="C2" s="5" t="inlineStr">
        <is>
          <t>BILLING</t>
        </is>
      </c>
      <c r="D2" s="5" t="inlineStr">
        <is>
          <t>CA</t>
        </is>
      </c>
      <c r="E2" s="6" t="inlineStr">
        <is>
          <t>EMAIL</t>
        </is>
      </c>
      <c r="F2" s="6" t="inlineStr">
        <is>
          <t>EMAIL</t>
        </is>
      </c>
      <c r="G2" s="6" t="inlineStr">
        <is>
          <t>IN</t>
        </is>
      </c>
      <c r="H2" s="6" t="inlineStr"/>
      <c r="I2" s="5" t="inlineStr">
        <is>
          <t>PORTAL</t>
        </is>
      </c>
      <c r="J2" s="5">
        <f>IF(ISNUMBER(SEARCH(F2,E2)),"OK","ERR: default not allowed")</f>
        <v/>
      </c>
      <c r="K2" s="6" t="inlineStr">
        <is>
          <t>Requires valid BP e-mail</t>
        </is>
      </c>
    </row>
    <row r="3">
      <c r="A3" s="5" t="inlineStr">
        <is>
          <t>BILL_READY</t>
        </is>
      </c>
      <c r="B3" s="5" t="inlineStr">
        <is>
          <t>Bill ready notification</t>
        </is>
      </c>
      <c r="C3" s="5" t="inlineStr">
        <is>
          <t>BILLING</t>
        </is>
      </c>
      <c r="D3" s="5" t="inlineStr">
        <is>
          <t>CA</t>
        </is>
      </c>
      <c r="E3" s="6" t="inlineStr">
        <is>
          <t>EMAIL,SMS,PUSH</t>
        </is>
      </c>
      <c r="F3" s="6" t="inlineStr">
        <is>
          <t>EMAIL</t>
        </is>
      </c>
      <c r="G3" s="6" t="inlineStr">
        <is>
          <t>IN</t>
        </is>
      </c>
      <c r="H3" s="6" t="inlineStr"/>
      <c r="I3" s="5" t="inlineStr">
        <is>
          <t>PORTAL</t>
        </is>
      </c>
      <c r="J3" s="5">
        <f>IF(ISNUMBER(SEARCH(F3,E3)),"OK","ERR: default not allowed")</f>
        <v/>
      </c>
      <c r="K3" s="6" t="inlineStr"/>
    </row>
    <row r="4">
      <c r="A4" s="5" t="inlineStr">
        <is>
          <t>PAY_CONFIRM</t>
        </is>
      </c>
      <c r="B4" s="5" t="inlineStr">
        <is>
          <t>Payment confirmation</t>
        </is>
      </c>
      <c r="C4" s="5" t="inlineStr">
        <is>
          <t>BILLING</t>
        </is>
      </c>
      <c r="D4" s="5" t="inlineStr">
        <is>
          <t>CA</t>
        </is>
      </c>
      <c r="E4" s="6" t="inlineStr">
        <is>
          <t>EMAIL,SMS</t>
        </is>
      </c>
      <c r="F4" s="6" t="inlineStr">
        <is>
          <t>EMAIL</t>
        </is>
      </c>
      <c r="G4" s="6" t="inlineStr">
        <is>
          <t>IN</t>
        </is>
      </c>
      <c r="H4" s="6" t="inlineStr"/>
      <c r="I4" s="5" t="inlineStr">
        <is>
          <t>PORTAL</t>
        </is>
      </c>
      <c r="J4" s="5">
        <f>IF(ISNUMBER(SEARCH(F4,E4)),"OK","ERR: default not allowed")</f>
        <v/>
      </c>
      <c r="K4" s="6" t="inlineStr"/>
    </row>
    <row r="5">
      <c r="A5" s="5" t="inlineStr">
        <is>
          <t>PAY_REMIND</t>
        </is>
      </c>
      <c r="B5" s="5" t="inlineStr">
        <is>
          <t>Payment reminder</t>
        </is>
      </c>
      <c r="C5" s="5" t="inlineStr">
        <is>
          <t>BILLING</t>
        </is>
      </c>
      <c r="D5" s="5" t="inlineStr">
        <is>
          <t>CA</t>
        </is>
      </c>
      <c r="E5" s="6" t="inlineStr">
        <is>
          <t>EMAIL,SMS,VOICE</t>
        </is>
      </c>
      <c r="F5" s="6" t="inlineStr">
        <is>
          <t>EMAIL</t>
        </is>
      </c>
      <c r="G5" s="6" t="inlineStr">
        <is>
          <t>IN</t>
        </is>
      </c>
      <c r="H5" s="6" t="inlineStr"/>
      <c r="I5" s="5" t="inlineStr">
        <is>
          <t>PORTAL</t>
        </is>
      </c>
      <c r="J5" s="5">
        <f>IF(ISNUMBER(SEARCH(F5,E5)),"OK","ERR: default not allowed")</f>
        <v/>
      </c>
      <c r="K5" s="6" t="inlineStr">
        <is>
          <t>Voice subject to DNC fallback</t>
        </is>
      </c>
    </row>
    <row r="6">
      <c r="A6" s="5" t="inlineStr">
        <is>
          <t>PAST_DUE</t>
        </is>
      </c>
      <c r="B6" s="5" t="inlineStr">
        <is>
          <t>Past-due notice</t>
        </is>
      </c>
      <c r="C6" s="5" t="inlineStr">
        <is>
          <t>BILLING</t>
        </is>
      </c>
      <c r="D6" s="5" t="inlineStr">
        <is>
          <t>CA</t>
        </is>
      </c>
      <c r="E6" s="6" t="inlineStr">
        <is>
          <t>EMAIL,SMS,VOICE,POST</t>
        </is>
      </c>
      <c r="F6" s="6" t="inlineStr">
        <is>
          <t>EMAIL</t>
        </is>
      </c>
      <c r="G6" s="6" t="inlineStr">
        <is>
          <t>IN</t>
        </is>
      </c>
      <c r="H6" s="6" t="inlineStr">
        <is>
          <t>X</t>
        </is>
      </c>
      <c r="I6" s="5" t="inlineStr">
        <is>
          <t>PORTAL</t>
        </is>
      </c>
      <c r="J6" s="5">
        <f>IF(ISNUMBER(SEARCH(F6,E6)),"OK","ERR: default not allowed")</f>
        <v/>
      </c>
      <c r="K6" s="6" t="inlineStr">
        <is>
          <t>Regulatory - cannot opt out</t>
        </is>
      </c>
    </row>
    <row r="7">
      <c r="A7" s="5" t="inlineStr">
        <is>
          <t>OUT_DETECT</t>
        </is>
      </c>
      <c r="B7" s="5" t="inlineStr">
        <is>
          <t>Outage detected</t>
        </is>
      </c>
      <c r="C7" s="5" t="inlineStr">
        <is>
          <t>OUTAGE</t>
        </is>
      </c>
      <c r="D7" s="5" t="inlineStr">
        <is>
          <t>CA</t>
        </is>
      </c>
      <c r="E7" s="6" t="inlineStr">
        <is>
          <t>SMS,EMAIL,PUSH,VOICE</t>
        </is>
      </c>
      <c r="F7" s="6" t="inlineStr">
        <is>
          <t>SMS</t>
        </is>
      </c>
      <c r="G7" s="6" t="inlineStr">
        <is>
          <t>IN</t>
        </is>
      </c>
      <c r="H7" s="6" t="inlineStr"/>
      <c r="I7" s="5" t="inlineStr">
        <is>
          <t>OMS</t>
        </is>
      </c>
      <c r="J7" s="5">
        <f>IF(ISNUMBER(SEARCH(F7,E7)),"OK","ERR: default not allowed")</f>
        <v/>
      </c>
      <c r="K7" s="6" t="inlineStr"/>
    </row>
    <row r="8">
      <c r="A8" s="5" t="inlineStr">
        <is>
          <t>OUT_ETR</t>
        </is>
      </c>
      <c r="B8" s="5" t="inlineStr">
        <is>
          <t>Estimated restoration</t>
        </is>
      </c>
      <c r="C8" s="5" t="inlineStr">
        <is>
          <t>OUTAGE</t>
        </is>
      </c>
      <c r="D8" s="5" t="inlineStr">
        <is>
          <t>CA</t>
        </is>
      </c>
      <c r="E8" s="6" t="inlineStr">
        <is>
          <t>SMS,EMAIL,PUSH</t>
        </is>
      </c>
      <c r="F8" s="6" t="inlineStr">
        <is>
          <t>SMS</t>
        </is>
      </c>
      <c r="G8" s="6" t="inlineStr">
        <is>
          <t>IN</t>
        </is>
      </c>
      <c r="H8" s="6" t="inlineStr"/>
      <c r="I8" s="5" t="inlineStr">
        <is>
          <t>OMS</t>
        </is>
      </c>
      <c r="J8" s="5">
        <f>IF(ISNUMBER(SEARCH(F8,E8)),"OK","ERR: default not allowed")</f>
        <v/>
      </c>
      <c r="K8" s="6" t="inlineStr"/>
    </row>
    <row r="9">
      <c r="A9" s="5" t="inlineStr">
        <is>
          <t>OUT_CREW</t>
        </is>
      </c>
      <c r="B9" s="5" t="inlineStr">
        <is>
          <t>Crew dispatched</t>
        </is>
      </c>
      <c r="C9" s="5" t="inlineStr">
        <is>
          <t>OUTAGE</t>
        </is>
      </c>
      <c r="D9" s="5" t="inlineStr">
        <is>
          <t>CA</t>
        </is>
      </c>
      <c r="E9" s="6" t="inlineStr">
        <is>
          <t>SMS,PUSH</t>
        </is>
      </c>
      <c r="F9" s="6" t="inlineStr">
        <is>
          <t>SMS</t>
        </is>
      </c>
      <c r="G9" s="6" t="inlineStr">
        <is>
          <t>OUT</t>
        </is>
      </c>
      <c r="H9" s="6" t="inlineStr"/>
      <c r="I9" s="5" t="inlineStr">
        <is>
          <t>OMS</t>
        </is>
      </c>
      <c r="J9" s="5">
        <f>IF(ISNUMBER(SEARCH(F9,E9)),"OK","ERR: default not allowed")</f>
        <v/>
      </c>
      <c r="K9" s="6" t="inlineStr"/>
    </row>
    <row r="10">
      <c r="A10" s="5" t="inlineStr">
        <is>
          <t>OUT_RESTORE</t>
        </is>
      </c>
      <c r="B10" s="5" t="inlineStr">
        <is>
          <t>Power restored</t>
        </is>
      </c>
      <c r="C10" s="5" t="inlineStr">
        <is>
          <t>OUTAGE</t>
        </is>
      </c>
      <c r="D10" s="5" t="inlineStr">
        <is>
          <t>CA</t>
        </is>
      </c>
      <c r="E10" s="6" t="inlineStr">
        <is>
          <t>SMS,EMAIL,PUSH</t>
        </is>
      </c>
      <c r="F10" s="6" t="inlineStr">
        <is>
          <t>SMS</t>
        </is>
      </c>
      <c r="G10" s="6" t="inlineStr">
        <is>
          <t>IN</t>
        </is>
      </c>
      <c r="H10" s="6" t="inlineStr"/>
      <c r="I10" s="5" t="inlineStr">
        <is>
          <t>OMS</t>
        </is>
      </c>
      <c r="J10" s="5">
        <f>IF(ISNUMBER(SEARCH(F10,E10)),"OK","ERR: default not allowed")</f>
        <v/>
      </c>
      <c r="K10" s="6" t="inlineStr"/>
    </row>
    <row r="11">
      <c r="A11" s="5" t="inlineStr">
        <is>
          <t>OUT_PLANNED</t>
        </is>
      </c>
      <c r="B11" s="5" t="inlineStr">
        <is>
          <t>Planned outage notice</t>
        </is>
      </c>
      <c r="C11" s="5" t="inlineStr">
        <is>
          <t>OUTAGE</t>
        </is>
      </c>
      <c r="D11" s="5" t="inlineStr">
        <is>
          <t>CA</t>
        </is>
      </c>
      <c r="E11" s="6" t="inlineStr">
        <is>
          <t>SMS,EMAIL,POST</t>
        </is>
      </c>
      <c r="F11" s="6" t="inlineStr">
        <is>
          <t>EMAIL</t>
        </is>
      </c>
      <c r="G11" s="6" t="inlineStr">
        <is>
          <t>IN</t>
        </is>
      </c>
      <c r="H11" s="6" t="inlineStr"/>
      <c r="I11" s="5" t="inlineStr">
        <is>
          <t>OMS</t>
        </is>
      </c>
      <c r="J11" s="5">
        <f>IF(ISNUMBER(SEARCH(F11,E11)),"OK","ERR: default not allowed")</f>
        <v/>
      </c>
      <c r="K11" s="6" t="inlineStr"/>
    </row>
    <row r="12">
      <c r="A12" s="5" t="inlineStr">
        <is>
          <t>HIGH_USAGE</t>
        </is>
      </c>
      <c r="B12" s="5" t="inlineStr">
        <is>
          <t>High usage alert</t>
        </is>
      </c>
      <c r="C12" s="5" t="inlineStr">
        <is>
          <t>USAGE</t>
        </is>
      </c>
      <c r="D12" s="5" t="inlineStr">
        <is>
          <t>CA</t>
        </is>
      </c>
      <c r="E12" s="6" t="inlineStr">
        <is>
          <t>EMAIL,SMS,PUSH</t>
        </is>
      </c>
      <c r="F12" s="6" t="inlineStr">
        <is>
          <t>EMAIL</t>
        </is>
      </c>
      <c r="G12" s="6" t="inlineStr">
        <is>
          <t>IN</t>
        </is>
      </c>
      <c r="H12" s="6" t="inlineStr"/>
      <c r="I12" s="5" t="inlineStr">
        <is>
          <t>PORTAL</t>
        </is>
      </c>
      <c r="J12" s="5">
        <f>IF(ISNUMBER(SEARCH(F12,E12)),"OK","ERR: default not allowed")</f>
        <v/>
      </c>
      <c r="K12" s="6" t="inlineStr">
        <is>
          <t>Threshold in customer profile</t>
        </is>
      </c>
    </row>
    <row r="13">
      <c r="A13" s="5" t="inlineStr">
        <is>
          <t>BILL_PROJ</t>
        </is>
      </c>
      <c r="B13" s="5" t="inlineStr">
        <is>
          <t>Projected bill alert</t>
        </is>
      </c>
      <c r="C13" s="5" t="inlineStr">
        <is>
          <t>USAGE</t>
        </is>
      </c>
      <c r="D13" s="5" t="inlineStr">
        <is>
          <t>CA</t>
        </is>
      </c>
      <c r="E13" s="6" t="inlineStr">
        <is>
          <t>EMAIL,SMS</t>
        </is>
      </c>
      <c r="F13" s="6" t="inlineStr">
        <is>
          <t>EMAIL</t>
        </is>
      </c>
      <c r="G13" s="6" t="inlineStr">
        <is>
          <t>IN</t>
        </is>
      </c>
      <c r="H13" s="6" t="inlineStr"/>
      <c r="I13" s="5" t="inlineStr">
        <is>
          <t>PORTAL</t>
        </is>
      </c>
      <c r="J13" s="5">
        <f>IF(ISNUMBER(SEARCH(F13,E13)),"OK","ERR: default not allowed")</f>
        <v/>
      </c>
      <c r="K13" s="6" t="inlineStr"/>
    </row>
    <row r="14">
      <c r="A14" s="5" t="inlineStr">
        <is>
          <t>PEAK_DEMAND</t>
        </is>
      </c>
      <c r="B14" s="5" t="inlineStr">
        <is>
          <t>Peak demand alert</t>
        </is>
      </c>
      <c r="C14" s="5" t="inlineStr">
        <is>
          <t>USAGE</t>
        </is>
      </c>
      <c r="D14" s="5" t="inlineStr">
        <is>
          <t>CA</t>
        </is>
      </c>
      <c r="E14" s="6" t="inlineStr">
        <is>
          <t>EMAIL,SMS</t>
        </is>
      </c>
      <c r="F14" s="6" t="inlineStr">
        <is>
          <t>EMAIL</t>
        </is>
      </c>
      <c r="G14" s="6" t="inlineStr">
        <is>
          <t>OUT</t>
        </is>
      </c>
      <c r="H14" s="6" t="inlineStr"/>
      <c r="I14" s="5" t="inlineStr">
        <is>
          <t>PORTAL</t>
        </is>
      </c>
      <c r="J14" s="5">
        <f>IF(ISNUMBER(SEARCH(F14,E14)),"OK","ERR: default not allowed")</f>
        <v/>
      </c>
      <c r="K14" s="6" t="inlineStr"/>
    </row>
    <row r="15">
      <c r="A15" s="5" t="inlineStr">
        <is>
          <t>DR_EVENT</t>
        </is>
      </c>
      <c r="B15" s="5" t="inlineStr">
        <is>
          <t>Demand response event</t>
        </is>
      </c>
      <c r="C15" s="5" t="inlineStr">
        <is>
          <t>PROGRAM</t>
        </is>
      </c>
      <c r="D15" s="5" t="inlineStr">
        <is>
          <t>CA</t>
        </is>
      </c>
      <c r="E15" s="6" t="inlineStr">
        <is>
          <t>SMS,EMAIL,PUSH,VOICE</t>
        </is>
      </c>
      <c r="F15" s="6" t="inlineStr">
        <is>
          <t>SMS</t>
        </is>
      </c>
      <c r="G15" s="6" t="inlineStr">
        <is>
          <t>IN</t>
        </is>
      </c>
      <c r="H15" s="6" t="inlineStr"/>
      <c r="I15" s="5" t="inlineStr">
        <is>
          <t>DRMS</t>
        </is>
      </c>
      <c r="J15" s="5">
        <f>IF(ISNUMBER(SEARCH(F15,E15)),"OK","ERR: default not allowed")</f>
        <v/>
      </c>
      <c r="K15" s="6" t="inlineStr">
        <is>
          <t>Time-critical dispatch</t>
        </is>
      </c>
    </row>
    <row r="16">
      <c r="A16" s="5" t="inlineStr">
        <is>
          <t>EE_OFFER</t>
        </is>
      </c>
      <c r="B16" s="5" t="inlineStr">
        <is>
          <t>Energy efficiency offers</t>
        </is>
      </c>
      <c r="C16" s="5" t="inlineStr">
        <is>
          <t>PROGRAM</t>
        </is>
      </c>
      <c r="D16" s="5" t="inlineStr">
        <is>
          <t>CA</t>
        </is>
      </c>
      <c r="E16" s="6" t="inlineStr">
        <is>
          <t>EMAIL,POST</t>
        </is>
      </c>
      <c r="F16" s="6" t="inlineStr">
        <is>
          <t>EMAIL</t>
        </is>
      </c>
      <c r="G16" s="6" t="inlineStr">
        <is>
          <t>IN</t>
        </is>
      </c>
      <c r="H16" s="6" t="inlineStr"/>
      <c r="I16" s="5" t="inlineStr">
        <is>
          <t>PORTAL</t>
        </is>
      </c>
      <c r="J16" s="5">
        <f>IF(ISNUMBER(SEARCH(F16,E16)),"OK","ERR: default not allowed")</f>
        <v/>
      </c>
      <c r="K16" s="6" t="inlineStr"/>
    </row>
    <row r="17">
      <c r="A17" s="5" t="inlineStr">
        <is>
          <t>EV_PROGRAM</t>
        </is>
      </c>
      <c r="B17" s="5" t="inlineStr">
        <is>
          <t>EV program communications</t>
        </is>
      </c>
      <c r="C17" s="5" t="inlineStr">
        <is>
          <t>PROGRAM</t>
        </is>
      </c>
      <c r="D17" s="5" t="inlineStr">
        <is>
          <t>CA</t>
        </is>
      </c>
      <c r="E17" s="6" t="inlineStr">
        <is>
          <t>EMAIL,SMS</t>
        </is>
      </c>
      <c r="F17" s="6" t="inlineStr">
        <is>
          <t>EMAIL</t>
        </is>
      </c>
      <c r="G17" s="6" t="inlineStr">
        <is>
          <t>IN</t>
        </is>
      </c>
      <c r="H17" s="6" t="inlineStr"/>
      <c r="I17" s="5" t="inlineStr">
        <is>
          <t>DRMS</t>
        </is>
      </c>
      <c r="J17" s="5">
        <f>IF(ISNUMBER(SEARCH(F17,E17)),"OK","ERR: default not allowed")</f>
        <v/>
      </c>
      <c r="K17" s="6" t="inlineStr"/>
    </row>
    <row r="18">
      <c r="A18" s="5" t="inlineStr">
        <is>
          <t>SOLAR_PROG</t>
        </is>
      </c>
      <c r="B18" s="5" t="inlineStr">
        <is>
          <t>Solar / renewable offers</t>
        </is>
      </c>
      <c r="C18" s="5" t="inlineStr">
        <is>
          <t>PROGRAM</t>
        </is>
      </c>
      <c r="D18" s="5" t="inlineStr">
        <is>
          <t>CA</t>
        </is>
      </c>
      <c r="E18" s="6" t="inlineStr">
        <is>
          <t>EMAIL</t>
        </is>
      </c>
      <c r="F18" s="6" t="inlineStr">
        <is>
          <t>EMAIL</t>
        </is>
      </c>
      <c r="G18" s="6" t="inlineStr">
        <is>
          <t>OUT</t>
        </is>
      </c>
      <c r="H18" s="6" t="inlineStr"/>
      <c r="I18" s="5" t="inlineStr">
        <is>
          <t>PORTAL</t>
        </is>
      </c>
      <c r="J18" s="5">
        <f>IF(ISNUMBER(SEARCH(F18,E18)),"OK","ERR: default not allowed")</f>
        <v/>
      </c>
      <c r="K18" s="6" t="inlineStr"/>
    </row>
    <row r="19">
      <c r="A19" s="5" t="inlineStr">
        <is>
          <t>PARTNER</t>
        </is>
      </c>
      <c r="B19" s="5" t="inlineStr">
        <is>
          <t>Partner offers</t>
        </is>
      </c>
      <c r="C19" s="5" t="inlineStr">
        <is>
          <t>MARKETING</t>
        </is>
      </c>
      <c r="D19" s="5" t="inlineStr">
        <is>
          <t>CA</t>
        </is>
      </c>
      <c r="E19" s="6" t="inlineStr">
        <is>
          <t>EMAIL,POST</t>
        </is>
      </c>
      <c r="F19" s="6" t="inlineStr">
        <is>
          <t>EMAIL</t>
        </is>
      </c>
      <c r="G19" s="6" t="inlineStr">
        <is>
          <t>OUT</t>
        </is>
      </c>
      <c r="H19" s="6" t="inlineStr"/>
      <c r="I19" s="5" t="inlineStr">
        <is>
          <t>PORTAL</t>
        </is>
      </c>
      <c r="J19" s="5">
        <f>IF(ISNUMBER(SEARCH(F19,E19)),"OK","ERR: default not allowed")</f>
        <v/>
      </c>
      <c r="K19" s="6" t="inlineStr">
        <is>
          <t>Consent-gated</t>
        </is>
      </c>
    </row>
    <row r="20">
      <c r="A20" s="5" t="inlineStr">
        <is>
          <t>PRODUCT_REC</t>
        </is>
      </c>
      <c r="B20" s="5" t="inlineStr">
        <is>
          <t>Product recommendations</t>
        </is>
      </c>
      <c r="C20" s="5" t="inlineStr">
        <is>
          <t>MARKETING</t>
        </is>
      </c>
      <c r="D20" s="5" t="inlineStr">
        <is>
          <t>CA</t>
        </is>
      </c>
      <c r="E20" s="6" t="inlineStr">
        <is>
          <t>EMAIL</t>
        </is>
      </c>
      <c r="F20" s="6" t="inlineStr">
        <is>
          <t>EMAIL</t>
        </is>
      </c>
      <c r="G20" s="6" t="inlineStr">
        <is>
          <t>OUT</t>
        </is>
      </c>
      <c r="H20" s="6" t="inlineStr"/>
      <c r="I20" s="5" t="inlineStr">
        <is>
          <t>PORTAL</t>
        </is>
      </c>
      <c r="J20" s="5">
        <f>IF(ISNUMBER(SEARCH(F20,E20)),"OK","ERR: default not allowed")</f>
        <v/>
      </c>
      <c r="K20" s="6" t="inlineStr"/>
    </row>
    <row r="21">
      <c r="A21" s="5" t="inlineStr">
        <is>
          <t>RESEARCH</t>
        </is>
      </c>
      <c r="B21" s="5" t="inlineStr">
        <is>
          <t>Research participation</t>
        </is>
      </c>
      <c r="C21" s="5" t="inlineStr">
        <is>
          <t>MARKETING</t>
        </is>
      </c>
      <c r="D21" s="5" t="inlineStr">
        <is>
          <t>CA</t>
        </is>
      </c>
      <c r="E21" s="6" t="inlineStr">
        <is>
          <t>EMAIL,VOICE</t>
        </is>
      </c>
      <c r="F21" s="6" t="inlineStr">
        <is>
          <t>EMAIL</t>
        </is>
      </c>
      <c r="G21" s="6" t="inlineStr">
        <is>
          <t>IN</t>
        </is>
      </c>
      <c r="H21" s="6" t="inlineStr"/>
      <c r="I21" s="5" t="inlineStr">
        <is>
          <t>PORTAL</t>
        </is>
      </c>
      <c r="J21" s="5">
        <f>IF(ISNUMBER(SEARCH(F21,E21)),"OK","ERR: default not allowed")</f>
        <v/>
      </c>
      <c r="K21" s="6" t="inlineStr"/>
    </row>
    <row r="22">
      <c r="A22" s="7" t="inlineStr">
        <is>
          <t>DNC</t>
        </is>
      </c>
      <c r="B22" s="7" t="inlineStr">
        <is>
          <t>Do Not Call</t>
        </is>
      </c>
      <c r="C22" s="7" t="inlineStr">
        <is>
          <t>PRIVACY</t>
        </is>
      </c>
      <c r="D22" s="7" t="inlineStr">
        <is>
          <t>BP</t>
        </is>
      </c>
      <c r="E22" s="7" t="inlineStr">
        <is>
          <t>VOICE</t>
        </is>
      </c>
      <c r="F22" s="7" t="inlineStr">
        <is>
          <t>VOICE</t>
        </is>
      </c>
      <c r="G22" s="7" t="inlineStr">
        <is>
          <t>OUT</t>
        </is>
      </c>
      <c r="H22" s="7" t="inlineStr"/>
      <c r="I22" s="7" t="inlineStr">
        <is>
          <t>CSR</t>
        </is>
      </c>
      <c r="J22" s="7">
        <f>IF(ISNUMBER(SEARCH(F22,E22)),"OK","ERR: default not allowed")</f>
        <v/>
      </c>
      <c r="K22" s="7" t="inlineStr">
        <is>
          <t>IN = customer IS on DNC. Partner-wide</t>
        </is>
      </c>
    </row>
    <row r="23">
      <c r="A23" s="7" t="inlineStr">
        <is>
          <t>DNM</t>
        </is>
      </c>
      <c r="B23" s="7" t="inlineStr">
        <is>
          <t>Do Not Mail</t>
        </is>
      </c>
      <c r="C23" s="7" t="inlineStr">
        <is>
          <t>PRIVACY</t>
        </is>
      </c>
      <c r="D23" s="7" t="inlineStr">
        <is>
          <t>BP</t>
        </is>
      </c>
      <c r="E23" s="7" t="inlineStr">
        <is>
          <t>POST</t>
        </is>
      </c>
      <c r="F23" s="7" t="inlineStr">
        <is>
          <t>POST</t>
        </is>
      </c>
      <c r="G23" s="7" t="inlineStr">
        <is>
          <t>OUT</t>
        </is>
      </c>
      <c r="H23" s="7" t="inlineStr"/>
      <c r="I23" s="7" t="inlineStr">
        <is>
          <t>CSR</t>
        </is>
      </c>
      <c r="J23" s="7">
        <f>IF(ISNUMBER(SEARCH(F23,E23)),"OK","ERR: default not allowed")</f>
        <v/>
      </c>
      <c r="K23" s="7" t="inlineStr">
        <is>
          <t>IN = customer IS on DNM. Partner-wide</t>
        </is>
      </c>
    </row>
    <row r="24">
      <c r="A24" s="7" t="inlineStr">
        <is>
          <t>THIRD_PARTY</t>
        </is>
      </c>
      <c r="B24" s="7" t="inlineStr">
        <is>
          <t>Third-party data sharing</t>
        </is>
      </c>
      <c r="C24" s="7" t="inlineStr">
        <is>
          <t>PRIVACY</t>
        </is>
      </c>
      <c r="D24" s="7" t="inlineStr">
        <is>
          <t>BP</t>
        </is>
      </c>
      <c r="E24" s="7" t="inlineStr">
        <is>
          <t>ALL</t>
        </is>
      </c>
      <c r="F24" s="7" t="inlineStr">
        <is>
          <t>ALL</t>
        </is>
      </c>
      <c r="G24" s="7" t="inlineStr">
        <is>
          <t>OUT</t>
        </is>
      </c>
      <c r="H24" s="7" t="inlineStr"/>
      <c r="I24" s="7" t="inlineStr">
        <is>
          <t>PORTAL</t>
        </is>
      </c>
      <c r="J24" s="7">
        <f>IF(ISNUMBER(SEARCH(F24,E24)),"OK","ERR: default not allowed")</f>
        <v/>
      </c>
      <c r="K24" s="7" t="inlineStr">
        <is>
          <t>Partner-wide consent</t>
        </is>
      </c>
    </row>
    <row r="25">
      <c r="A25" s="5" t="inlineStr">
        <is>
          <t>AMI_CONSENT</t>
        </is>
      </c>
      <c r="B25" s="5" t="inlineStr">
        <is>
          <t>Smart meter data consent</t>
        </is>
      </c>
      <c r="C25" s="5" t="inlineStr">
        <is>
          <t>PRIVACY</t>
        </is>
      </c>
      <c r="D25" s="5" t="inlineStr">
        <is>
          <t>CA</t>
        </is>
      </c>
      <c r="E25" s="6" t="inlineStr">
        <is>
          <t>ALL</t>
        </is>
      </c>
      <c r="F25" s="6" t="inlineStr">
        <is>
          <t>ALL</t>
        </is>
      </c>
      <c r="G25" s="6" t="inlineStr">
        <is>
          <t>IN</t>
        </is>
      </c>
      <c r="H25" s="6" t="inlineStr"/>
      <c r="I25" s="5" t="inlineStr">
        <is>
          <t>PORTAL</t>
        </is>
      </c>
      <c r="J25" s="5">
        <f>IF(ISNUMBER(SEARCH(F25,E25)),"OK","ERR: default not allowed")</f>
        <v/>
      </c>
      <c r="K25" s="6" t="inlineStr">
        <is>
          <t>CA-level: concerns the device at the premise</t>
        </is>
      </c>
    </row>
    <row r="27">
      <c r="A27" s="3" t="inlineStr">
        <is>
          <t xml:space="preserve">Types: 24 | BP-scope: =COUNTIF(D2:D25,"BP") -&gt; </t>
        </is>
      </c>
      <c r="B27" s="2">
        <f>COUNTIF(D2:D25,"BP")</f>
        <v/>
      </c>
    </row>
    <row r="28">
      <c r="A28" s="3" t="inlineStr">
        <is>
          <t>Rows with CHECK errors:</t>
        </is>
      </c>
      <c r="B28" s="2">
        <f>COUNTIF(J2:J25,"&lt;&gt;OK")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9" customWidth="1" min="4" max="4"/>
    <col width="12" customWidth="1" min="5" max="5"/>
    <col width="12" customWidth="1" min="6" max="6"/>
    <col width="15" customWidth="1" min="7" max="7"/>
    <col width="21" customWidth="1" min="8" max="8"/>
    <col width="46" customWidth="1" min="9" max="9"/>
  </cols>
  <sheetData>
    <row r="1">
      <c r="A1" s="4" t="inlineStr">
        <is>
          <t>SEQ</t>
        </is>
      </c>
      <c r="B1" s="4" t="inlineStr">
        <is>
          <t>CONDITION</t>
        </is>
      </c>
      <c r="C1" s="4" t="inlineStr">
        <is>
          <t>MSG_TYPE</t>
        </is>
      </c>
      <c r="D1" s="4" t="inlineStr">
        <is>
          <t>SUPPRESSED_CHANNEL</t>
        </is>
      </c>
      <c r="E1" s="4" t="inlineStr">
        <is>
          <t>FALLBACK_1</t>
        </is>
      </c>
      <c r="F1" s="4" t="inlineStr">
        <is>
          <t>FALLBACK_2</t>
        </is>
      </c>
      <c r="G1" s="4" t="inlineStr">
        <is>
          <t>IF_NO_FALLBACK</t>
        </is>
      </c>
      <c r="H1" s="4" t="inlineStr">
        <is>
          <t>REASON_CODE</t>
        </is>
      </c>
      <c r="I1" s="4" t="inlineStr">
        <is>
          <t>NOTES</t>
        </is>
      </c>
    </row>
    <row r="2">
      <c r="A2" s="5" t="n">
        <v>10</v>
      </c>
      <c r="B2" s="5" t="inlineStr">
        <is>
          <t>DNC_ACTIVE</t>
        </is>
      </c>
      <c r="C2" s="5" t="inlineStr">
        <is>
          <t>PAY_REMIND</t>
        </is>
      </c>
      <c r="D2" s="5" t="inlineStr">
        <is>
          <t>VOICE</t>
        </is>
      </c>
      <c r="E2" s="6" t="inlineStr">
        <is>
          <t>SMS</t>
        </is>
      </c>
      <c r="F2" s="6" t="inlineStr">
        <is>
          <t>EMAIL</t>
        </is>
      </c>
      <c r="G2" s="6" t="inlineStr">
        <is>
          <t>SUPPRESS</t>
        </is>
      </c>
      <c r="H2" s="5" t="inlineStr">
        <is>
          <t>DNC_FALLBACK</t>
        </is>
      </c>
      <c r="I2" s="6" t="inlineStr">
        <is>
          <t>Reminder still due on a permitted channel</t>
        </is>
      </c>
    </row>
    <row r="3">
      <c r="A3" s="5" t="n">
        <v>20</v>
      </c>
      <c r="B3" s="5" t="inlineStr">
        <is>
          <t>DNC_ACTIVE</t>
        </is>
      </c>
      <c r="C3" s="5" t="inlineStr">
        <is>
          <t>PAST_DUE</t>
        </is>
      </c>
      <c r="D3" s="5" t="inlineStr">
        <is>
          <t>VOICE</t>
        </is>
      </c>
      <c r="E3" s="6" t="inlineStr">
        <is>
          <t>SMS</t>
        </is>
      </c>
      <c r="F3" s="6" t="inlineStr">
        <is>
          <t>EMAIL</t>
        </is>
      </c>
      <c r="G3" s="6" t="inlineStr">
        <is>
          <t>SUPPRESS</t>
        </is>
      </c>
      <c r="H3" s="5" t="inlineStr">
        <is>
          <t>DNC_FALLBACK</t>
        </is>
      </c>
      <c r="I3" s="6" t="inlineStr">
        <is>
          <t>Mandatory notice must still go out (never fully lost: POST remains unless DNM)</t>
        </is>
      </c>
    </row>
    <row r="4">
      <c r="A4" s="5" t="n">
        <v>30</v>
      </c>
      <c r="B4" s="5" t="inlineStr">
        <is>
          <t>DNC_ACTIVE</t>
        </is>
      </c>
      <c r="C4" s="5" t="inlineStr">
        <is>
          <t>OUT_DETECT</t>
        </is>
      </c>
      <c r="D4" s="5" t="inlineStr">
        <is>
          <t>VOICE</t>
        </is>
      </c>
      <c r="E4" s="6" t="inlineStr">
        <is>
          <t>SMS</t>
        </is>
      </c>
      <c r="F4" s="6" t="inlineStr">
        <is>
          <t>PUSH</t>
        </is>
      </c>
      <c r="G4" s="6" t="inlineStr">
        <is>
          <t>SUPPRESS</t>
        </is>
      </c>
      <c r="H4" s="5" t="inlineStr">
        <is>
          <t>DNC_FALLBACK</t>
        </is>
      </c>
      <c r="I4" s="6" t="inlineStr">
        <is>
          <t>Safety-relevant: prefer fastest non-voice</t>
        </is>
      </c>
    </row>
    <row r="5">
      <c r="A5" s="5" t="n">
        <v>40</v>
      </c>
      <c r="B5" s="5" t="inlineStr">
        <is>
          <t>DNC_ACTIVE</t>
        </is>
      </c>
      <c r="C5" s="5" t="inlineStr">
        <is>
          <t>DR_EVENT</t>
        </is>
      </c>
      <c r="D5" s="5" t="inlineStr">
        <is>
          <t>VOICE</t>
        </is>
      </c>
      <c r="E5" s="6" t="inlineStr">
        <is>
          <t>SMS</t>
        </is>
      </c>
      <c r="F5" s="6" t="inlineStr">
        <is>
          <t>PUSH</t>
        </is>
      </c>
      <c r="G5" s="6" t="inlineStr">
        <is>
          <t>SUPPRESS</t>
        </is>
      </c>
      <c r="H5" s="5" t="inlineStr">
        <is>
          <t>DNC_FALLBACK</t>
        </is>
      </c>
      <c r="I5" s="6" t="inlineStr">
        <is>
          <t>Time-critical dispatch</t>
        </is>
      </c>
    </row>
    <row r="6">
      <c r="A6" s="5" t="n">
        <v>50</v>
      </c>
      <c r="B6" s="5" t="inlineStr">
        <is>
          <t>DNC_ACTIVE</t>
        </is>
      </c>
      <c r="C6" s="5" t="inlineStr">
        <is>
          <t>RESEARCH</t>
        </is>
      </c>
      <c r="D6" s="5" t="inlineStr">
        <is>
          <t>VOICE</t>
        </is>
      </c>
      <c r="E6" s="6" t="inlineStr">
        <is>
          <t>EMAIL</t>
        </is>
      </c>
      <c r="F6" s="6" t="inlineStr"/>
      <c r="G6" s="6" t="inlineStr">
        <is>
          <t>SUPPRESS</t>
        </is>
      </c>
      <c r="H6" s="5" t="inlineStr">
        <is>
          <t>DNC_NO_ALTERNATIVE</t>
        </is>
      </c>
      <c r="I6" s="6" t="inlineStr">
        <is>
          <t>Marketing-adjacent: no aggressive fallback</t>
        </is>
      </c>
    </row>
    <row r="7">
      <c r="A7" s="5" t="n">
        <v>60</v>
      </c>
      <c r="B7" s="5" t="inlineStr">
        <is>
          <t>DNC_ACTIVE</t>
        </is>
      </c>
      <c r="C7" s="5" t="inlineStr">
        <is>
          <t>*</t>
        </is>
      </c>
      <c r="D7" s="5" t="inlineStr">
        <is>
          <t>VOICE</t>
        </is>
      </c>
      <c r="E7" s="6" t="inlineStr">
        <is>
          <t>SMS</t>
        </is>
      </c>
      <c r="F7" s="6" t="inlineStr">
        <is>
          <t>EMAIL</t>
        </is>
      </c>
      <c r="G7" s="6" t="inlineStr">
        <is>
          <t>SUPPRESS</t>
        </is>
      </c>
      <c r="H7" s="5" t="inlineStr">
        <is>
          <t>DNC_FALLBACK</t>
        </is>
      </c>
      <c r="I7" s="6" t="inlineStr">
        <is>
          <t>Catch-all: any other voice message</t>
        </is>
      </c>
    </row>
    <row r="8">
      <c r="A8" s="5" t="n">
        <v>70</v>
      </c>
      <c r="B8" s="5" t="inlineStr">
        <is>
          <t>DNM_ACTIVE</t>
        </is>
      </c>
      <c r="C8" s="5" t="inlineStr">
        <is>
          <t>PAST_DUE</t>
        </is>
      </c>
      <c r="D8" s="5" t="inlineStr">
        <is>
          <t>POST</t>
        </is>
      </c>
      <c r="E8" s="6" t="inlineStr">
        <is>
          <t>EMAIL</t>
        </is>
      </c>
      <c r="F8" s="6" t="inlineStr">
        <is>
          <t>SMS</t>
        </is>
      </c>
      <c r="G8" s="6" t="inlineStr">
        <is>
          <t>SUPPRESS</t>
        </is>
      </c>
      <c r="H8" s="5" t="inlineStr">
        <is>
          <t>DNM_FALLBACK</t>
        </is>
      </c>
      <c r="I8" s="6" t="inlineStr">
        <is>
          <t>Mandatory notice re-routed electronically</t>
        </is>
      </c>
    </row>
    <row r="9">
      <c r="A9" s="5" t="n">
        <v>80</v>
      </c>
      <c r="B9" s="5" t="inlineStr">
        <is>
          <t>DNM_ACTIVE</t>
        </is>
      </c>
      <c r="C9" s="5" t="inlineStr">
        <is>
          <t>OUT_PLANNED</t>
        </is>
      </c>
      <c r="D9" s="5" t="inlineStr">
        <is>
          <t>POST</t>
        </is>
      </c>
      <c r="E9" s="6" t="inlineStr">
        <is>
          <t>EMAIL</t>
        </is>
      </c>
      <c r="F9" s="6" t="inlineStr">
        <is>
          <t>SMS</t>
        </is>
      </c>
      <c r="G9" s="6" t="inlineStr">
        <is>
          <t>SUPPRESS</t>
        </is>
      </c>
      <c r="H9" s="5" t="inlineStr">
        <is>
          <t>DNM_FALLBACK</t>
        </is>
      </c>
      <c r="I9" s="6" t="inlineStr"/>
    </row>
    <row r="10">
      <c r="A10" s="5" t="n">
        <v>90</v>
      </c>
      <c r="B10" s="5" t="inlineStr">
        <is>
          <t>DNM_ACTIVE</t>
        </is>
      </c>
      <c r="C10" s="5" t="inlineStr">
        <is>
          <t>EE_OFFER</t>
        </is>
      </c>
      <c r="D10" s="5" t="inlineStr">
        <is>
          <t>POST</t>
        </is>
      </c>
      <c r="E10" s="6" t="inlineStr">
        <is>
          <t>EMAIL</t>
        </is>
      </c>
      <c r="F10" s="6" t="inlineStr"/>
      <c r="G10" s="6" t="inlineStr">
        <is>
          <t>SUPPRESS</t>
        </is>
      </c>
      <c r="H10" s="5" t="inlineStr">
        <is>
          <t>DNM_NO_ALTERNATIVE</t>
        </is>
      </c>
      <c r="I10" s="6" t="inlineStr"/>
    </row>
    <row r="11">
      <c r="A11" s="5" t="n">
        <v>100</v>
      </c>
      <c r="B11" s="5" t="inlineStr">
        <is>
          <t>DNM_ACTIVE</t>
        </is>
      </c>
      <c r="C11" s="5" t="inlineStr">
        <is>
          <t>PARTNER</t>
        </is>
      </c>
      <c r="D11" s="5" t="inlineStr">
        <is>
          <t>POST</t>
        </is>
      </c>
      <c r="E11" s="6" t="inlineStr">
        <is>
          <t>EMAIL</t>
        </is>
      </c>
      <c r="F11" s="6" t="inlineStr"/>
      <c r="G11" s="6" t="inlineStr">
        <is>
          <t>SUPPRESS</t>
        </is>
      </c>
      <c r="H11" s="5" t="inlineStr">
        <is>
          <t>DNM_NO_ALTERNATIVE</t>
        </is>
      </c>
      <c r="I11" s="6" t="inlineStr">
        <is>
          <t>Marketing: suppress rather than chase</t>
        </is>
      </c>
    </row>
    <row r="12">
      <c r="A12" s="5" t="n">
        <v>110</v>
      </c>
      <c r="B12" s="5" t="inlineStr">
        <is>
          <t>DNM_ACTIVE</t>
        </is>
      </c>
      <c r="C12" s="5" t="inlineStr">
        <is>
          <t>*</t>
        </is>
      </c>
      <c r="D12" s="5" t="inlineStr">
        <is>
          <t>POST</t>
        </is>
      </c>
      <c r="E12" s="6" t="inlineStr">
        <is>
          <t>EMAIL</t>
        </is>
      </c>
      <c r="F12" s="6" t="inlineStr"/>
      <c r="G12" s="6" t="inlineStr">
        <is>
          <t>SUPPRESS</t>
        </is>
      </c>
      <c r="H12" s="5" t="inlineStr">
        <is>
          <t>DNM_FALLBACK</t>
        </is>
      </c>
      <c r="I12" s="6" t="inlineStr">
        <is>
          <t>Catch-all: any other postal message</t>
        </is>
      </c>
    </row>
    <row r="14">
      <c r="A14" s="8" t="inlineStr">
        <is>
          <t>Evaluation: first matching row by (CONDITION, MSG_TYPE) wins; '*' rows are the catch-all (lowest priority). Fallback channel must also be in the type's ALLOWED_CHANNELS and must itself not be suppressed.</t>
        </is>
      </c>
    </row>
  </sheetData>
  <mergeCells count="1">
    <mergeCell ref="A14:I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3" customWidth="1" min="4" max="4"/>
    <col width="40" customWidth="1" min="5" max="5"/>
    <col width="15" customWidth="1" min="6" max="6"/>
    <col width="13" customWidth="1" min="7" max="7"/>
    <col width="62" customWidth="1" min="8" max="8"/>
  </cols>
  <sheetData>
    <row r="1">
      <c r="A1" s="4" t="inlineStr">
        <is>
          <t>SEQ</t>
        </is>
      </c>
      <c r="B1" s="4" t="inlineStr">
        <is>
          <t>BO_EVENT</t>
        </is>
      </c>
      <c r="C1" s="4" t="inlineStr">
        <is>
          <t>ACTION</t>
        </is>
      </c>
      <c r="D1" s="4" t="inlineStr">
        <is>
          <t>TARGET_SCOPE</t>
        </is>
      </c>
      <c r="E1" s="4" t="inlineStr">
        <is>
          <t>PREF_TYPES / SELECTOR</t>
        </is>
      </c>
      <c r="F1" s="4" t="inlineStr">
        <is>
          <t>TOUCH_BP_SCOPE</t>
        </is>
      </c>
      <c r="G1" s="4" t="inlineStr">
        <is>
          <t>EFFECTIVE</t>
        </is>
      </c>
      <c r="H1" s="4" t="inlineStr">
        <is>
          <t>NOTES</t>
        </is>
      </c>
    </row>
    <row r="2">
      <c r="A2" s="5" t="n">
        <v>10</v>
      </c>
      <c r="B2" s="5" t="inlineStr">
        <is>
          <t>MOVE_OUT</t>
        </is>
      </c>
      <c r="C2" s="6" t="inlineStr">
        <is>
          <t>END</t>
        </is>
      </c>
      <c r="D2" s="5" t="inlineStr">
        <is>
          <t>CA</t>
        </is>
      </c>
      <c r="E2" s="6" t="inlineStr">
        <is>
          <t>CATEGORY IN (MARKETING, PROGRAM, USAGE)</t>
        </is>
      </c>
      <c r="F2" s="5" t="inlineStr">
        <is>
          <t>NO</t>
        </is>
      </c>
      <c r="G2" s="6" t="inlineStr">
        <is>
          <t>EVENT_DATE</t>
        </is>
      </c>
      <c r="H2" s="6" t="inlineStr">
        <is>
          <t>Ends PARTNER, PRODUCT_REC, RESEARCH, EE_OFFER, EV_PROGRAM, SOLAR_PROG, DR_EVENT, HIGH_USAGE, BILL_PROJ, PEAK_DEMAND on the vacated account</t>
        </is>
      </c>
    </row>
    <row r="3">
      <c r="A3" s="5" t="n">
        <v>20</v>
      </c>
      <c r="B3" s="5" t="inlineStr">
        <is>
          <t>MOVE_OUT</t>
        </is>
      </c>
      <c r="C3" s="6" t="inlineStr">
        <is>
          <t>RETAIN</t>
        </is>
      </c>
      <c r="D3" s="5" t="inlineStr">
        <is>
          <t>CA</t>
        </is>
      </c>
      <c r="E3" s="6" t="inlineStr">
        <is>
          <t>CATEGORY = BILLING</t>
        </is>
      </c>
      <c r="F3" s="5" t="inlineStr">
        <is>
          <t>NO</t>
        </is>
      </c>
      <c r="G3" s="6" t="inlineStr">
        <is>
          <t>-</t>
        </is>
      </c>
      <c r="H3" s="6" t="inlineStr">
        <is>
          <t>Billing + past-due notices continue until the final bill is settled; ended by closing process afterwards</t>
        </is>
      </c>
    </row>
    <row r="4">
      <c r="A4" s="5" t="n">
        <v>30</v>
      </c>
      <c r="B4" s="5" t="inlineStr">
        <is>
          <t>MOVE_OUT</t>
        </is>
      </c>
      <c r="C4" s="6" t="inlineStr">
        <is>
          <t>RETAIN</t>
        </is>
      </c>
      <c r="D4" s="5" t="inlineStr">
        <is>
          <t>CA</t>
        </is>
      </c>
      <c r="E4" s="6" t="inlineStr">
        <is>
          <t>CATEGORY = OUTAGE</t>
        </is>
      </c>
      <c r="F4" s="5" t="inlineStr">
        <is>
          <t>NO</t>
        </is>
      </c>
      <c r="G4" s="6" t="inlineStr">
        <is>
          <t>-</t>
        </is>
      </c>
      <c r="H4" s="6" t="inlineStr">
        <is>
          <t>Outage notices end automatically with supply end (installation-driven), no explicit action</t>
        </is>
      </c>
    </row>
    <row r="5">
      <c r="A5" s="5" t="n">
        <v>40</v>
      </c>
      <c r="B5" s="5" t="inlineStr">
        <is>
          <t>MOVE_IN</t>
        </is>
      </c>
      <c r="C5" s="6" t="inlineStr">
        <is>
          <t>SEED_DEFAULT</t>
        </is>
      </c>
      <c r="D5" s="5" t="inlineStr">
        <is>
          <t>CA</t>
        </is>
      </c>
      <c r="E5" s="6" t="inlineStr">
        <is>
          <t>ALL CA-SCOPE TYPES WITHOUT ACTIVE RECORD</t>
        </is>
      </c>
      <c r="F5" s="5" t="inlineStr">
        <is>
          <t>NO</t>
        </is>
      </c>
      <c r="G5" s="6" t="inlineStr">
        <is>
          <t>MOVE_IN_DATE</t>
        </is>
      </c>
      <c r="H5" s="6" t="inlineStr">
        <is>
          <t>Creates defaults from DT_PREF_DEFAULTS for the new contract account only where nothing active exists</t>
        </is>
      </c>
    </row>
    <row r="6">
      <c r="A6" s="5" t="n">
        <v>50</v>
      </c>
      <c r="B6" s="5" t="inlineStr">
        <is>
          <t>MOVE_IN</t>
        </is>
      </c>
      <c r="C6" s="6" t="inlineStr">
        <is>
          <t>NO_ACTION</t>
        </is>
      </c>
      <c r="D6" s="5" t="inlineStr">
        <is>
          <t>BP</t>
        </is>
      </c>
      <c r="E6" s="6" t="inlineStr">
        <is>
          <t>DNC, DNM, THIRD_PARTY</t>
        </is>
      </c>
      <c r="F6" s="5" t="inlineStr">
        <is>
          <t>NO</t>
        </is>
      </c>
      <c r="G6" s="6" t="inlineStr">
        <is>
          <t>-</t>
        </is>
      </c>
      <c r="H6" s="6" t="inlineStr">
        <is>
          <t>BP-scope preferences carry forward untouched - never reset by account events</t>
        </is>
      </c>
    </row>
    <row r="7">
      <c r="A7" s="5" t="n">
        <v>60</v>
      </c>
      <c r="B7" s="5" t="inlineStr">
        <is>
          <t>BP_CHANGE</t>
        </is>
      </c>
      <c r="C7" s="6" t="inlineStr">
        <is>
          <t>REVALIDATE</t>
        </is>
      </c>
      <c r="D7" s="5" t="inlineStr">
        <is>
          <t>BP+CA</t>
        </is>
      </c>
      <c r="E7" s="6" t="inlineStr">
        <is>
          <t>ALL TYPES WITH CHANNEL EMAIL/SMS/VOICE</t>
        </is>
      </c>
      <c r="F7" s="5" t="inlineStr">
        <is>
          <t>NO</t>
        </is>
      </c>
      <c r="G7" s="6" t="inlineStr">
        <is>
          <t>IMMEDIATE</t>
        </is>
      </c>
      <c r="H7" s="6" t="inlineStr">
        <is>
          <t>BP phone/e-mail changed (CPC05): re-validate channel addresses; flag records whose channel now lacks an address</t>
        </is>
      </c>
    </row>
    <row r="8">
      <c r="A8" s="5" t="n">
        <v>70</v>
      </c>
      <c r="B8" s="5" t="inlineStr">
        <is>
          <t>DECEASED</t>
        </is>
      </c>
      <c r="C8" s="6" t="inlineStr">
        <is>
          <t>END</t>
        </is>
      </c>
      <c r="D8" s="5" t="inlineStr">
        <is>
          <t>BP+CA</t>
        </is>
      </c>
      <c r="E8" s="6" t="inlineStr">
        <is>
          <t>ALL EXCEPT PAST_DUE</t>
        </is>
      </c>
      <c r="F8" s="5" t="inlineStr">
        <is>
          <t>YES</t>
        </is>
      </c>
      <c r="G8" s="6" t="inlineStr">
        <is>
          <t>EVENT_DATE</t>
        </is>
      </c>
      <c r="H8" s="6" t="inlineStr">
        <is>
          <t>Estate handling: stop all proactive communication; billing notices per legal process. Confirm policy with business</t>
        </is>
      </c>
    </row>
    <row r="10">
      <c r="A10" s="8" t="inlineStr">
        <is>
          <t>TOUCH_BP_SCOPE = NO is the invariant for account-level events (rows 10-60): BP-wide preferences (DNC, DNM, THIRD_PARTY) are only ever changed by an explicit customer/CSR decision or row 70. All actions write ZCPC_AUDIT with SOURCE = BRF.</t>
        </is>
      </c>
    </row>
  </sheetData>
  <mergeCells count="1"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36" customWidth="1" min="3" max="3"/>
    <col width="17" customWidth="1" min="4" max="4"/>
    <col width="44" customWidth="1" min="5" max="5"/>
  </cols>
  <sheetData>
    <row r="1">
      <c r="A1" s="4" t="inlineStr">
        <is>
          <t>CHANNEL</t>
        </is>
      </c>
      <c r="B1" s="4" t="inlineStr">
        <is>
          <t>DESCRIPTION</t>
        </is>
      </c>
      <c r="C1" s="4" t="inlineStr">
        <is>
          <t>BP ADDRESS SOURCE</t>
        </is>
      </c>
      <c r="D1" s="4" t="inlineStr">
        <is>
          <t>DNC/DNM RELEVANT</t>
        </is>
      </c>
      <c r="E1" s="4" t="inlineStr">
        <is>
          <t>NOTES</t>
        </is>
      </c>
    </row>
    <row r="2">
      <c r="A2" s="5" t="inlineStr">
        <is>
          <t>EMAIL</t>
        </is>
      </c>
      <c r="B2" s="5" t="inlineStr">
        <is>
          <t>E-mail</t>
        </is>
      </c>
      <c r="C2" s="5" t="inlineStr">
        <is>
          <t>BP standard e-mail address (ADR6)</t>
        </is>
      </c>
      <c r="D2" s="5" t="inlineStr">
        <is>
          <t>-</t>
        </is>
      </c>
      <c r="E2" s="6" t="inlineStr">
        <is>
          <t>Bounce handling via dispatcher</t>
        </is>
      </c>
    </row>
    <row r="3">
      <c r="A3" s="5" t="inlineStr">
        <is>
          <t>SMS</t>
        </is>
      </c>
      <c r="B3" s="5" t="inlineStr">
        <is>
          <t>Text message</t>
        </is>
      </c>
      <c r="C3" s="5" t="inlineStr">
        <is>
          <t>BP mobile number (ADR2, mobile flag)</t>
        </is>
      </c>
      <c r="D3" s="5" t="inlineStr">
        <is>
          <t>-</t>
        </is>
      </c>
      <c r="E3" s="6" t="inlineStr">
        <is>
          <t>Requires SMS provider opt-in record where regulated</t>
        </is>
      </c>
    </row>
    <row r="4">
      <c r="A4" s="5" t="inlineStr">
        <is>
          <t>VOICE</t>
        </is>
      </c>
      <c r="B4" s="5" t="inlineStr">
        <is>
          <t>Outbound call/IVR</t>
        </is>
      </c>
      <c r="C4" s="5" t="inlineStr">
        <is>
          <t>BP telephone number (ADR2)</t>
        </is>
      </c>
      <c r="D4" s="5" t="inlineStr">
        <is>
          <t>DNC</t>
        </is>
      </c>
      <c r="E4" s="6" t="inlineStr">
        <is>
          <t>Suppressed whenever DNC active (BP-wide)</t>
        </is>
      </c>
    </row>
    <row r="5">
      <c r="A5" s="5" t="inlineStr">
        <is>
          <t>PUSH</t>
        </is>
      </c>
      <c r="B5" s="5" t="inlineStr">
        <is>
          <t>App push</t>
        </is>
      </c>
      <c r="C5" s="5" t="inlineStr">
        <is>
          <t>Portal user device token (portal DB)</t>
        </is>
      </c>
      <c r="D5" s="5" t="inlineStr">
        <is>
          <t>-</t>
        </is>
      </c>
      <c r="E5" s="6" t="inlineStr">
        <is>
          <t>Only for registered app users</t>
        </is>
      </c>
    </row>
    <row r="6">
      <c r="A6" s="5" t="inlineStr">
        <is>
          <t>POST</t>
        </is>
      </c>
      <c r="B6" s="5" t="inlineStr">
        <is>
          <t>Printed mail</t>
        </is>
      </c>
      <c r="C6" s="5" t="inlineStr">
        <is>
          <t>BP standard postal address (ADRC)</t>
        </is>
      </c>
      <c r="D6" s="5" t="inlineStr">
        <is>
          <t>DNM</t>
        </is>
      </c>
      <c r="E6" s="6" t="inlineStr">
        <is>
          <t>Suppressed whenever DNM active (BP-wide)</t>
        </is>
      </c>
    </row>
    <row r="7">
      <c r="A7" s="5" t="inlineStr">
        <is>
          <t>ALL</t>
        </is>
      </c>
      <c r="B7" s="5" t="inlineStr">
        <is>
          <t>Applies to all</t>
        </is>
      </c>
      <c r="C7" s="5" t="inlineStr">
        <is>
          <t>-</t>
        </is>
      </c>
      <c r="D7" s="5" t="inlineStr">
        <is>
          <t>-</t>
        </is>
      </c>
      <c r="E7" s="6" t="inlineStr">
        <is>
          <t>Used by consent-style types (THIRD_PARTY, AMI_CONSENT)</t>
        </is>
      </c>
    </row>
    <row r="9">
      <c r="A9" s="9" t="inlineStr">
        <is>
          <t>Address table names (ADR2/ADR6/ADRC) are classic BP address storage - validate access path (BP API vs direct read) per landscape.</t>
        </is>
      </c>
    </row>
  </sheetData>
  <mergeCells count="1"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2026-08-17T19:36:04Z</dcterms:created>
  <dcterms:modified xmlns:dcterms="http://purl.org/dc/terms/" xmlns:xsi="http://www.w3.org/2001/XMLSchema-instance" xsi:type="dcterms:W3CDTF">2026-08-17T19:36:04Z</dcterms:modified>
</cp:coreProperties>
</file>